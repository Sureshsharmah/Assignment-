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2499B730-3895-407B-A4FC-84E3A1E4A8EF}" xr6:coauthVersionLast="47" xr6:coauthVersionMax="47" xr10:uidLastSave="{00000000-0000-0000-0000-000000000000}"/>
  <bookViews>
    <workbookView xWindow="-108" yWindow="-108" windowWidth="23256" windowHeight="1257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0" l="1"/>
  <c r="C23" i="20" s="1" a="1"/>
  <c r="C23" i="20" s="1"/>
  <c r="C22" i="19"/>
  <c r="C24" i="20"/>
  <c r="C25" i="20"/>
  <c r="C26" i="20"/>
  <c r="C27" i="20"/>
  <c r="C28" i="20"/>
  <c r="C29" i="20"/>
  <c r="C30" i="20"/>
  <c r="C31" i="20"/>
  <c r="C32" i="20"/>
  <c r="C33" i="20"/>
  <c r="C34" i="20"/>
  <c r="C35" i="20"/>
  <c r="C27" i="18"/>
  <c r="D27" i="18"/>
  <c r="E27" i="18"/>
  <c r="F27" i="18"/>
  <c r="B27" i="18"/>
  <c r="C26" i="18"/>
  <c r="D26" i="18"/>
  <c r="E26" i="18"/>
  <c r="F26" i="18"/>
  <c r="B26" i="18"/>
  <c r="C25" i="18"/>
  <c r="D25" i="18"/>
  <c r="E25" i="18"/>
  <c r="F25" i="18"/>
  <c r="B25" i="18"/>
  <c r="C24" i="18"/>
  <c r="D24" i="18"/>
  <c r="E24" i="18"/>
  <c r="F24" i="18"/>
  <c r="C23" i="18"/>
  <c r="D23" i="18"/>
  <c r="E23" i="18"/>
  <c r="F23" i="18"/>
  <c r="C22" i="18"/>
  <c r="D22" i="18"/>
  <c r="E22" i="18"/>
  <c r="F22" i="18"/>
  <c r="C21" i="18"/>
  <c r="D21" i="18"/>
  <c r="E21" i="18"/>
  <c r="F21" i="18"/>
  <c r="C20" i="18"/>
  <c r="D20" i="18"/>
  <c r="E20" i="18"/>
  <c r="F20" i="18"/>
  <c r="C19" i="18"/>
  <c r="D19" i="18"/>
  <c r="E19" i="18"/>
  <c r="F19" i="18"/>
  <c r="C18" i="18"/>
  <c r="D18" i="18"/>
  <c r="E18" i="18"/>
  <c r="F18" i="18"/>
  <c r="B19" i="18"/>
  <c r="B20" i="18"/>
  <c r="B21" i="18"/>
  <c r="B22" i="18"/>
  <c r="B23" i="18"/>
  <c r="B24" i="18"/>
  <c r="B18" i="18"/>
  <c r="C17" i="18"/>
  <c r="D17" i="18"/>
  <c r="E17" i="18"/>
  <c r="F17" i="18"/>
  <c r="B17" i="18"/>
  <c r="C16" i="18"/>
  <c r="D16" i="18"/>
  <c r="E16" i="18"/>
  <c r="F16" i="18"/>
  <c r="B16" i="18"/>
  <c r="B15" i="18"/>
  <c r="C15" i="18"/>
  <c r="D15" i="18"/>
  <c r="E15" i="18"/>
  <c r="F15" i="18"/>
  <c r="C14" i="18"/>
  <c r="D14" i="18"/>
  <c r="E14" i="18"/>
  <c r="F14" i="18"/>
  <c r="B14" i="18"/>
  <c r="B13" i="18"/>
  <c r="C13" i="18"/>
  <c r="D13" i="18"/>
  <c r="E13" i="18"/>
  <c r="F13" i="18"/>
  <c r="C12" i="18"/>
  <c r="D12" i="18"/>
  <c r="E12" i="18"/>
  <c r="F12" i="18"/>
  <c r="B12" i="18"/>
  <c r="C11" i="18"/>
  <c r="D11" i="18"/>
  <c r="E11" i="18"/>
  <c r="F11" i="18"/>
  <c r="B8" i="18"/>
  <c r="B11" i="18"/>
  <c r="B10" i="18"/>
  <c r="C10" i="18"/>
  <c r="D10" i="18"/>
  <c r="E10" i="18"/>
  <c r="F10" i="18"/>
  <c r="C9" i="18"/>
  <c r="D9" i="18"/>
  <c r="E9" i="18"/>
  <c r="F9" i="18"/>
  <c r="B9" i="18"/>
  <c r="C8" i="18"/>
  <c r="D8" i="18"/>
  <c r="E8" i="18"/>
  <c r="F8" i="18"/>
  <c r="B7" i="18"/>
  <c r="C7" i="18"/>
  <c r="D7" i="18"/>
  <c r="E7" i="18"/>
  <c r="F7" i="18"/>
  <c r="F6" i="18"/>
  <c r="B6" i="18"/>
  <c r="D6" i="18"/>
  <c r="E6" i="18"/>
  <c r="C6" i="18"/>
  <c r="Z20" i="1"/>
  <c r="Z18" i="1"/>
  <c r="D30" i="18" l="1"/>
  <c r="F28" i="18"/>
  <c r="D28" i="18"/>
  <c r="E28" i="18"/>
  <c r="E29" i="18" s="1"/>
  <c r="C28" i="18"/>
  <c r="B28" i="18"/>
  <c r="B30" i="18"/>
  <c r="C30" i="18"/>
  <c r="E30" i="18"/>
  <c r="F29" i="18"/>
  <c r="B29" i="18"/>
  <c r="D29" i="18"/>
  <c r="C29" i="18"/>
  <c r="F30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<sst xmlns="http://schemas.openxmlformats.org/spreadsheetml/2006/main" count="403" uniqueCount="180">
  <si>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</si>
  <si>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</si>
  <si>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</si>
  <si>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</si>
  <si>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</si>
  <si>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</si>
  <si>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</si>
  <si>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</si>
  <si>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</si>
  <si>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</si>
  <si>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</si>
  <si>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</si>
  <si>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</si>
  <si>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</si>
  <si>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</si>
  <si>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</si>
  <si>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</si>
  <si>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</si>
  <si>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</si>
  <si>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</si>
  <si>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</si>
  <si>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</si>
  <si>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</si>
  <si>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</si>
  <si>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</si>
  <si>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</si>
  <si>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</si>
  <si>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</si>
  <si>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</si>
  <si>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</si>
  <si>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</si>
  <si>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</si>
  <si>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</si>
  <si>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</si>
  <si>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</si>
  <si>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</si>
  <si>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</si>
  <si>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</si>
  <si>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</si>
  <si>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</si>
  <si>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</si>
  <si>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</si>
  <si>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</si>
  <si>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</si>
  <si>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</si>
  <si>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</si>
  <si>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</si>
  <si>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</si>
  <si>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</si>
  <si>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</si>
  <si>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</si>
  <si>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</si>
  <si>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</si>
  <si>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</si>
  <si>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</si>
  <si>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</si>
  <si>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</si>
  <si>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</si>
  <si>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</si>
  <si>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</si>
  <si>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</si>
  <si>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</si>
  <si>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</si>
  <si>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</si>
  <si>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</si>
  <si>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</si>
  <si>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</si>
  <si>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</si>
  <si>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</si>
  <si>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</si>
  <si>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</si>
  <si>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</si>
  <si>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</si>
  <si>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</si>
  <si>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</si>
  <si>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</si>
  <si>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</si>
  <si>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</si>
  <si>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</si>
  <si>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</si>
  <si>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</si>
  <si>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</si>
  <si>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</si>
  <si>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</si>
  <si>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</si>
  <si>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</si>
  <si>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</si>
  <si>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</si>
  <si>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</si>
  <si>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</si>
  <si>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</si>
  <si>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</si>
  <si>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</si>
  <si>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</si>
  <si>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</si>
  <si>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</si>
  <si>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</si>
  <si>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</si>
  <si>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</si>
  <si>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</si>
  <si>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</si>
  <si>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</si>
  <si>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</si>
  <si>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</si>
  <si>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</si>
  <si>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</si>
  <si>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</si>
  <si>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</si>
  <si>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</si>
  <si>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</si>
  <si>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</si>
  <si>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</si>
  <si>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</si>
  <si>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</si>
  <si>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</si>
  <si>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</si>
  <si>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</si>
  <si>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</si>
  <si>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</si>
  <si>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</si>
  <si>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</si>
  <si>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</si>
  <si>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</si>
  <si>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</si>
  <si>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</si>
  <si>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</si>
  <si>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</si>
  <si>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</si>
  <si>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</si>
  <si>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</si>
  <si>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</si>
  <si>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</si>
  <si>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</si>
  <si>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</si>
  <si>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</si>
  <si>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</si>
  <si>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</si>
  <si>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</si>
  <si>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</si>
  <si>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</si>
  <si>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</si>
  <si>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</si>
  <si>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</si>
  <si>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</si>
  <si>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</si>
  <si>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</si>
  <si>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</si>
  <si>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</si>
  <si>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</si>
  <si>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</si>
  <si>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</si>
  <si>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</si>
  <si>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</si>
  <si>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</si>
  <si>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</si>
  <si>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</si>
  <si>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</si>
  <si>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</si>
  <si>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</si>
  <si>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</si>
  <si>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</si>
  <si>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</si>
  <si>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</si>
  <si>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</si>
  <si>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</si>
  <si>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</si>
  <si>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</si>
  <si>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</si>
  <si>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</si>
  <si>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</si>
  <si>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</si>
  <si>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</si>
  <si>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</si>
  <si>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</si>
  <si>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</si>
  <si>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</si>
  <si>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#=SUMIF(Dataset!H:H,"&gt;20")</t>
  </si>
  <si>
    <t xml:space="preserve">we use delimited functionality to divide the values from the column.In table_A selected value column then gone to data menu then select the text column then selected delimited next seperated by (-) next change the destination cell from A 16 to B 16 then finished, then the output is displayed in the below column </t>
  </si>
  <si>
    <t>find and replacefirst ctrl+h for final replace file value is equal to #N/A with 20</t>
  </si>
  <si>
    <t>used concatenation method to combine the result of the two vlookup values by the separator (,)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</si>
</sst>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4" fontId="3" fillId="0" borderId="0" xfId="0" applyNumberFormat="1" applyFont="1"/>
    <xf numFmtId="0" fontId="1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5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40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4.4" x14ac:dyDescent="0.3"/>
  <cols>
    <col min="1" max="1" width="16.6640625" style="1" bestFit="1" customWidth="1"/>
    <col min="2" max="2" width="6" style="1" bestFit="1" customWidth="1"/>
    <col min="3" max="3" width="8.88671875" style="1" bestFit="1" customWidth="1"/>
    <col min="4" max="4" width="9.5546875" style="23" bestFit="1" customWidth="1"/>
    <col min="5" max="5" width="8.33203125" style="1" bestFit="1" customWidth="1"/>
    <col min="6" max="6" width="9" style="23" bestFit="1" customWidth="1"/>
    <col min="7" max="9" width="5" style="1" bestFit="1" customWidth="1"/>
    <col min="10" max="12" width="6.5546875" style="1" bestFit="1" customWidth="1"/>
    <col min="13" max="15" width="6" style="1" bestFit="1" customWidth="1"/>
    <col min="16" max="18" width="5" style="1" bestFit="1" customWidth="1"/>
    <col min="19" max="20" width="6.33203125" style="1" bestFit="1" customWidth="1"/>
    <col min="21" max="23" width="5" style="1" bestFit="1" customWidth="1"/>
    <col min="24" max="24" width="10.3320312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6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6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Z18" s="1" t="e">
        <f>SUMIF</f>
        <v>#NAME?</v>
      </c>
    </row>
    <row r="19" spans="1:26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6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  <c r="Z20" s="1">
        <f>SUMIF(H:H,"&gt;20")</f>
        <v>1473.0000000000002</v>
      </c>
    </row>
    <row r="21" spans="1:26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6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6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6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6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6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6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6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6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6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6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6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J1:L1048576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176</v>
      </c>
      <c r="D5" s="1">
        <v>1473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16" sqref="H1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INDEX(Dataset!A1:X40,MATCH(A6,Dataset!$A$1:$A$40,0),MATCH(Task_2!B5,Dataset!$A$1:$X$1,0))</f>
        <v>2.7</v>
      </c>
      <c r="C6" s="11">
        <f>INDEX(Dataset!B1:Y40,MATCH($A$6,Dataset!$A$1:$A$40,0),MATCH(Task_2!C5,Dataset!$A$1:$X$1,0))</f>
        <v>8.9</v>
      </c>
      <c r="D6" s="11">
        <f>INDEX(Dataset!C1:Z40,MATCH($A$6,Dataset!$A$1:$A$40,0),MATCH(Task_2!D5,Dataset!$A$1:$X$1,0))</f>
        <v>8.9</v>
      </c>
      <c r="E6" s="11">
        <f>INDEX(Dataset!D1:AA40,MATCH($A$6,Dataset!$A$1:$A$40,0),MATCH(Task_2!E5,Dataset!$A$1:$X$1,0))</f>
        <v>4.2</v>
      </c>
      <c r="F6" s="11">
        <f>INDEX(Dataset!$A$1:$X$40,MATCH(Task_2!A6,Dataset!$A$1:$A$40,0),MATCH(Task_2!F5,Dataset!$A$1:$X$1,0))</f>
        <v>4.2</v>
      </c>
    </row>
    <row r="7" spans="1:7" ht="14.4" x14ac:dyDescent="0.3">
      <c r="A7" s="7" t="s">
        <v>4</v>
      </c>
      <c r="B7" s="11">
        <f>INDEX(Dataset!$A$1:$X$40,MATCH(Task_2!$A$7,Dataset!$A$1:$A$40,0),MATCH(Task_2!B5,Dataset!$A$1:$X$1,0))</f>
        <v>2.7</v>
      </c>
      <c r="C7" s="11">
        <f>INDEX(Dataset!$A$1:$X$40,MATCH(Task_2!$A$7,Dataset!$A$1:$A$40,0),MATCH(Task_2!C5,Dataset!$A$1:$X$1,0))</f>
        <v>7.6</v>
      </c>
      <c r="D7" s="11">
        <f>INDEX(Dataset!$A$1:$X$40,MATCH(Task_2!$A$7,Dataset!$A$1:$A$40,0),MATCH(Task_2!D5,Dataset!$A$1:$X$1,0))</f>
        <v>4.2</v>
      </c>
      <c r="E7" s="11">
        <f>INDEX(Dataset!$A$1:$X$40,MATCH(Task_2!$A$7,Dataset!$A$1:$A$40,0),MATCH(Task_2!E5,Dataset!$A$1:$X$1,0))</f>
        <v>8.9</v>
      </c>
      <c r="F7" s="11">
        <f>INDEX(Dataset!$A$1:$X$40,MATCH(Task_2!$A$7,Dataset!$A$1:$A$40,0),MATCH(Task_2!F5,Dataset!$A$1:$X$1,0))</f>
        <v>4.2</v>
      </c>
    </row>
    <row r="8" spans="1:7" ht="14.4" x14ac:dyDescent="0.3">
      <c r="A8" s="7" t="s">
        <v>7</v>
      </c>
      <c r="B8" s="11">
        <f>INDEX(Dataset!$A$1:$X$40,MATCH(Task_2!$A$8,Dataset!$A$1:$A$40,0),MATCH(Task_2!B5,Dataset!$A$1:$X$1,0))</f>
        <v>3.6</v>
      </c>
      <c r="C8" s="11">
        <f>INDEX(Dataset!$A$1:$X$40,MATCH(Task_2!$A$8,Dataset!$A$1:$A$40,0),MATCH(Task_2!C5,Dataset!$A$1:$X$1,0))</f>
        <v>11.1</v>
      </c>
      <c r="D8" s="11">
        <f>INDEX(Dataset!$A$1:$X$40,MATCH(Task_2!$A$8,Dataset!$A$1:$A$40,0),MATCH(Task_2!D5,Dataset!$A$1:$X$1,0))</f>
        <v>5.8</v>
      </c>
      <c r="E8" s="11">
        <f>INDEX(Dataset!$A$1:$X$40,MATCH(Task_2!$A$8,Dataset!$A$1:$A$40,0),MATCH(Task_2!E5,Dataset!$A$1:$X$1,0))</f>
        <v>12.2</v>
      </c>
      <c r="F8" s="11">
        <f>INDEX(Dataset!$A$1:$X$40,MATCH(Task_2!$A$8,Dataset!$A$1:$A$40,0),MATCH(Task_2!F5,Dataset!$A$1:$X$1,0))</f>
        <v>5.8</v>
      </c>
    </row>
    <row r="9" spans="1:7" ht="14.4" x14ac:dyDescent="0.3">
      <c r="A9" s="7" t="s">
        <v>8</v>
      </c>
      <c r="B9" s="11">
        <f>INDEX(Dataset!$A$1:$X$40,MATCH(Task_2!$A$9,Dataset!$A$1:$A$40,0),MATCH(Task_2!B5,Dataset!$A$1:$X$1,0))</f>
        <v>4.9000000000000004</v>
      </c>
      <c r="C9" s="11">
        <f>INDEX(Dataset!$A$1:$X$40,MATCH(Task_2!$A$9,Dataset!$A$1:$A$40,0),MATCH(Task_2!C5,Dataset!$A$1:$X$1,0))</f>
        <v>13.3</v>
      </c>
      <c r="D9" s="11">
        <f>INDEX(Dataset!$A$1:$X$40,MATCH(Task_2!$A$9,Dataset!$A$1:$A$40,0),MATCH(Task_2!D5,Dataset!$A$1:$X$1,0))</f>
        <v>8.1</v>
      </c>
      <c r="E9" s="11">
        <f>INDEX(Dataset!$A$1:$X$40,MATCH(Task_2!$A$9,Dataset!$A$1:$A$40,0),MATCH(Task_2!E5,Dataset!$A$1:$X$1,0))</f>
        <v>17</v>
      </c>
      <c r="F9" s="11">
        <f>INDEX(Dataset!$A$1:$X$40,MATCH(Task_2!$A$9,Dataset!$A$1:$A$40,0),MATCH(Task_2!F5,Dataset!$A$1:$X$1,0))</f>
        <v>8.1</v>
      </c>
    </row>
    <row r="10" spans="1:7" ht="14.4" x14ac:dyDescent="0.3">
      <c r="A10" s="7" t="s">
        <v>11</v>
      </c>
      <c r="B10" s="11">
        <f>INDEX(Dataset!$A$1:$X$40,MATCH(Task_2!$A$10,Dataset!$A$1:$A$40,0),MATCH(Task_2!B5,Dataset!$A$1:$X$1,0))</f>
        <v>9.4</v>
      </c>
      <c r="C10" s="11">
        <f>INDEX(Dataset!$A$1:$X$40,MATCH(Task_2!$A$10,Dataset!$A$1:$A$40,0),MATCH(Task_2!C5,Dataset!$A$1:$X$1,0))</f>
        <v>28.3</v>
      </c>
      <c r="D10" s="11">
        <f>INDEX(Dataset!$A$1:$X$40,MATCH(Task_2!$A$10,Dataset!$A$1:$A$40,0),MATCH(Task_2!D5,Dataset!$A$1:$X$1,0))</f>
        <v>16.100000000000001</v>
      </c>
      <c r="E10" s="11">
        <f>INDEX(Dataset!$A$1:$X$40,MATCH(Task_2!$A$10,Dataset!$A$1:$A$40,0),MATCH(Task_2!E5,Dataset!$A$1:$X$1,0))</f>
        <v>32.799999999999997</v>
      </c>
      <c r="F10" s="11">
        <f>INDEX(Dataset!$A$1:$X$40,MATCH(Task_2!$A$10,Dataset!$A$1:$A$40,0),MATCH(Task_2!F5,Dataset!$A$1:$X$1,0))</f>
        <v>16.100000000000001</v>
      </c>
    </row>
    <row r="11" spans="1:7" ht="14.4" x14ac:dyDescent="0.3">
      <c r="A11" s="7" t="s">
        <v>12</v>
      </c>
      <c r="B11" s="11">
        <f>INDEX(Dataset!$A$1:$X$40,MATCH(Task_2!$A$7,Dataset!$A$1:$A$40,0),MATCH(Task_2!B5,Dataset!$A$1:$X$1,0))</f>
        <v>2.7</v>
      </c>
      <c r="C11" s="11">
        <f>INDEX(Dataset!$A$1:$X$40,MATCH(Task_2!$A$7,Dataset!$A$1:$A$40,0),MATCH(Task_2!C5,Dataset!$A$1:$X$1,0))</f>
        <v>7.6</v>
      </c>
      <c r="D11" s="11">
        <f>INDEX(Dataset!$A$1:$X$40,MATCH(Task_2!$A$7,Dataset!$A$1:$A$40,0),MATCH(Task_2!D5,Dataset!$A$1:$X$1,0))</f>
        <v>4.2</v>
      </c>
      <c r="E11" s="11">
        <f>INDEX(Dataset!$A$1:$X$40,MATCH(Task_2!$A$7,Dataset!$A$1:$A$40,0),MATCH(Task_2!E5,Dataset!$A$1:$X$1,0))</f>
        <v>8.9</v>
      </c>
      <c r="F11" s="11">
        <f>INDEX(Dataset!$A$1:$X$40,MATCH(Task_2!$A$7,Dataset!$A$1:$A$40,0),MATCH(Task_2!F5,Dataset!$A$1:$X$1,0))</f>
        <v>4.2</v>
      </c>
    </row>
    <row r="12" spans="1:7" ht="14.4" x14ac:dyDescent="0.3">
      <c r="A12" s="7" t="s">
        <v>14</v>
      </c>
      <c r="B12" s="11">
        <f>INDEX(Dataset!$A$1:$X$40,MATCH(Task_2!$A$12,Dataset!$A$1:$A$40,0),MATCH(Task_2!B5,Dataset!$A$1:$X$1,0))</f>
        <v>18.399999999999999</v>
      </c>
      <c r="C12" s="11">
        <f>INDEX(Dataset!$A$1:$X$40,MATCH(Task_2!$A$12,Dataset!$A$1:$A$40,0),MATCH(Task_2!C5,Dataset!$A$1:$X$1,0))</f>
        <v>55.6</v>
      </c>
      <c r="D12" s="11">
        <f>INDEX(Dataset!$A$1:$X$40,MATCH(Task_2!$A$12,Dataset!$A$1:$A$40,0),MATCH(Task_2!D5,Dataset!$A$1:$X$1,0))</f>
        <v>33.799999999999997</v>
      </c>
      <c r="E12" s="11">
        <f>INDEX(Dataset!$A$1:$X$40,MATCH(Task_2!$A$12,Dataset!$A$1:$A$40,0),MATCH(Task_2!E5,Dataset!$A$1:$X$1,0))</f>
        <v>67.900000000000006</v>
      </c>
      <c r="F12" s="11">
        <f>INDEX(Dataset!$A$1:$X$40,MATCH(Task_2!$A$12,Dataset!$A$1:$A$40,0),MATCH(Task_2!F5,Dataset!$A$1:$X$1,0))</f>
        <v>33.799999999999997</v>
      </c>
    </row>
    <row r="13" spans="1:7" ht="14.4" x14ac:dyDescent="0.3">
      <c r="A13" s="7" t="s">
        <v>15</v>
      </c>
      <c r="B13" s="11">
        <f>INDEX(Dataset!$A$1:$X$40,MATCH(Task_2!$A$13,Dataset!$A$1:$A$40,0),MATCH(Task_2!B5,Dataset!$A$1:$X$1,0))</f>
        <v>0</v>
      </c>
      <c r="C13" s="11">
        <f>INDEX(Dataset!$A$1:$X$40,MATCH(Task_2!$A$13,Dataset!$A$1:$A$40,0),MATCH(Task_2!C5,Dataset!$A$1:$X$1,0))</f>
        <v>0</v>
      </c>
      <c r="D13" s="11">
        <f>INDEX(Dataset!$A$1:$X$40,MATCH(Task_2!$A$13,Dataset!$A$1:$A$40,0),MATCH(Task_2!D5,Dataset!$A$1:$X$1,0))</f>
        <v>0</v>
      </c>
      <c r="E13" s="11">
        <f>INDEX(Dataset!$A$1:$X$40,MATCH(Task_2!$A$13,Dataset!$A$1:$A$40,0),MATCH(Task_2!E5,Dataset!$A$1:$X$1,0))</f>
        <v>0</v>
      </c>
      <c r="F13" s="11">
        <f>INDEX(Dataset!$A$1:$X$40,MATCH(Task_2!$A$13,Dataset!$A$1:$A$40,0),MATCH(Task_2!F5,Dataset!$A$1:$X$1,0))</f>
        <v>0</v>
      </c>
    </row>
    <row r="14" spans="1:7" ht="14.4" x14ac:dyDescent="0.3">
      <c r="A14" s="7" t="s">
        <v>16</v>
      </c>
      <c r="B14" s="11">
        <f>INDEX(Dataset!$A$1:$X$40,MATCH(Task_2!$A$14,Dataset!$A$1:$A$40,0),MATCH(Task_2!B5,Dataset!$A$1:$X$1,0))</f>
        <v>21.9</v>
      </c>
      <c r="C14" s="11">
        <f>INDEX(Dataset!$A$1:$X$40,MATCH(Task_2!$A$14,Dataset!$A$1:$A$40,0),MATCH(Task_2!C5,Dataset!$A$1:$X$1,0))</f>
        <v>61.5</v>
      </c>
      <c r="D14" s="11">
        <f>INDEX(Dataset!$A$1:$X$40,MATCH(Task_2!$A$14,Dataset!$A$1:$A$40,0),MATCH(Task_2!D5,Dataset!$A$1:$X$1,0))</f>
        <v>40.1</v>
      </c>
      <c r="E14" s="11">
        <f>INDEX(Dataset!$A$1:$X$40,MATCH(Task_2!$A$14,Dataset!$A$1:$A$40,0),MATCH(Task_2!E5,Dataset!$A$1:$X$1,0))</f>
        <v>76.599999999999994</v>
      </c>
      <c r="F14" s="11">
        <f>INDEX(Dataset!$A$1:$X$40,MATCH(Task_2!$A$14,Dataset!$A$1:$A$40,0),MATCH(Task_2!F5,Dataset!$A$1:$X$1,0))</f>
        <v>40.1</v>
      </c>
    </row>
    <row r="15" spans="1:7" ht="14.4" x14ac:dyDescent="0.3">
      <c r="A15" s="7" t="s">
        <v>18</v>
      </c>
      <c r="B15" s="11">
        <f>INDEX(Dataset!$A$1:$X$40,MATCH(Task_2!$A$15,Dataset!$A$1:$A$40,0),MATCH(Task_2!B5,Dataset!$A$1:$X$1,0))</f>
        <v>26.8</v>
      </c>
      <c r="C15" s="11">
        <f>INDEX(Dataset!$A$1:$X$40,MATCH(Task_2!$A$15,Dataset!$A$1:$A$40,0),MATCH(Task_2!C5,Dataset!$A$1:$X$1,0))</f>
        <v>79.599999999999994</v>
      </c>
      <c r="D15" s="11">
        <f>INDEX(Dataset!$A$1:$X$40,MATCH(Task_2!$A$15,Dataset!$A$1:$A$40,0),MATCH(Task_2!D5,Dataset!$A$1:$X$1,0))</f>
        <v>47.9</v>
      </c>
      <c r="E15" s="11">
        <f>INDEX(Dataset!$A$1:$X$40,MATCH(Task_2!$A$15,Dataset!$A$1:$A$40,0),MATCH(Task_2!E5,Dataset!$A$1:$X$1,0))</f>
        <v>96.8</v>
      </c>
      <c r="F15" s="11">
        <f>INDEX(Dataset!$A$1:$X$40,MATCH(Task_2!$A$15,Dataset!$A$1:$A$40,0),MATCH(Task_2!F5,Dataset!$A$1:$X$1,0))</f>
        <v>47.9</v>
      </c>
    </row>
    <row r="16" spans="1:7" ht="14.4" x14ac:dyDescent="0.3">
      <c r="A16" s="7" t="s">
        <v>20</v>
      </c>
      <c r="B16" s="11">
        <f>INDEX(Dataset!$A$1:$X$40,MATCH(Task_2!$A$16,Dataset!$A$1:$A$40,0),MATCH(Task_2!B5,Dataset!$A$1:$X$1,0))</f>
        <v>28.5</v>
      </c>
      <c r="C16" s="11">
        <f>INDEX(Dataset!$A$1:$X$40,MATCH(Task_2!$A$16,Dataset!$A$1:$A$40,0),MATCH(Task_2!C5,Dataset!$A$1:$X$1,0))</f>
        <v>85.4</v>
      </c>
      <c r="D16" s="11">
        <f>INDEX(Dataset!$A$1:$X$40,MATCH(Task_2!$A$16,Dataset!$A$1:$A$40,0),MATCH(Task_2!D5,Dataset!$A$1:$X$1,0))</f>
        <v>52.3</v>
      </c>
      <c r="E16" s="11">
        <f>INDEX(Dataset!$A$1:$X$40,MATCH(Task_2!$A$16,Dataset!$A$1:$A$40,0),MATCH(Task_2!E5,Dataset!$A$1:$X$1,0))</f>
        <v>106.1</v>
      </c>
      <c r="F16" s="11">
        <f>INDEX(Dataset!$A$1:$X$40,MATCH(Task_2!$A$16,Dataset!$A$1:$A$40,0),MATCH(Task_2!F5,Dataset!$A$1:$X$1,0))</f>
        <v>52.3</v>
      </c>
    </row>
    <row r="17" spans="1:6" ht="14.4" x14ac:dyDescent="0.3">
      <c r="A17" s="7" t="s">
        <v>22</v>
      </c>
      <c r="B17" s="11">
        <f>INDEX(Dataset!$A$1:$X$40,MATCH(Task_2!$A$17,Dataset!$A$1:$A$40,0),MATCH(Task_2!B5,Dataset!$A$1:$X$1,0))</f>
        <v>30.7</v>
      </c>
      <c r="C17" s="11">
        <f>INDEX(Dataset!$A$1:$X$40,MATCH(Task_2!$A$17,Dataset!$A$1:$A$40,0),MATCH(Task_2!C5,Dataset!$A$1:$X$1,0))</f>
        <v>92.1</v>
      </c>
      <c r="D17" s="11">
        <f>INDEX(Dataset!$A$1:$X$40,MATCH(Task_2!$A$17,Dataset!$A$1:$A$40,0),MATCH(Task_2!D5,Dataset!$A$1:$X$1,0))</f>
        <v>57</v>
      </c>
      <c r="E17" s="11">
        <f>INDEX(Dataset!$A$1:$X$40,MATCH(Task_2!$A$17,Dataset!$A$1:$A$40,0),MATCH(Task_2!E5,Dataset!$A$1:$X$1,0))</f>
        <v>115.1</v>
      </c>
      <c r="F17" s="11">
        <f>INDEX(Dataset!$A$1:$X$40,MATCH(Task_2!$A$17,Dataset!$A$1:$A$40,0),MATCH(Task_2!F5,Dataset!$A$1:$X$1,0))</f>
        <v>57</v>
      </c>
    </row>
    <row r="18" spans="1:6" ht="14.4" x14ac:dyDescent="0.3">
      <c r="A18" s="7" t="s">
        <v>23</v>
      </c>
      <c r="B18" s="11">
        <f>INDEX(Dataset!$A$1:$X$40,MATCH(Task_2!$A$18,Dataset!$A$1:$A$40,0),MATCH(Task_2!B5,Dataset!$A$1:$X$1,0))</f>
        <v>33.799999999999997</v>
      </c>
      <c r="C18" s="11">
        <f>INDEX(Dataset!$A$1:$X$40,MATCH(Task_2!$A$18,Dataset!$A$1:$A$40,0),MATCH(Task_2!C5,Dataset!$A$1:$X$1,0))</f>
        <v>101.3</v>
      </c>
      <c r="D18" s="11">
        <f>INDEX(Dataset!$A$1:$X$40,MATCH(Task_2!$A$18,Dataset!$A$1:$A$40,0),MATCH(Task_2!D5,Dataset!$A$1:$X$1,0))</f>
        <v>61.4</v>
      </c>
      <c r="E18" s="11">
        <f>INDEX(Dataset!$A$1:$X$40,MATCH(Task_2!$A$18,Dataset!$A$1:$A$40,0),MATCH(Task_2!E5,Dataset!$A$1:$X$1,0))</f>
        <v>124.4</v>
      </c>
      <c r="F18" s="11">
        <f>INDEX(Dataset!$A$1:$X$40,MATCH(Task_2!$A$18,Dataset!$A$1:$A$40,0),MATCH(Task_2!F5,Dataset!$A$1:$X$1,0))</f>
        <v>61.4</v>
      </c>
    </row>
    <row r="19" spans="1:6" ht="14.4" x14ac:dyDescent="0.3">
      <c r="A19" s="7" t="s">
        <v>24</v>
      </c>
      <c r="B19" s="11">
        <f>INDEX(Dataset!$A$1:$X$40,MATCH(Task_2!$A$19,Dataset!$A$1:$A$40,0),MATCH(Task_2!B5,Dataset!$A$1:$X$1,0))</f>
        <v>34.700000000000003</v>
      </c>
      <c r="C19" s="11">
        <f>INDEX(Dataset!$A$1:$X$40,MATCH(Task_2!$A$19,Dataset!$A$1:$A$40,0),MATCH(Task_2!C5,Dataset!$A$1:$X$1,0))</f>
        <v>106.1</v>
      </c>
      <c r="D19" s="11">
        <f>INDEX(Dataset!$A$1:$X$40,MATCH(Task_2!$A$19,Dataset!$A$1:$A$40,0),MATCH(Task_2!D5,Dataset!$A$1:$X$1,0))</f>
        <v>63.6</v>
      </c>
      <c r="E19" s="11">
        <f>INDEX(Dataset!$A$1:$X$40,MATCH(Task_2!$A$19,Dataset!$A$1:$A$40,0),MATCH(Task_2!E5,Dataset!$A$1:$X$1,0))</f>
        <v>128.6</v>
      </c>
      <c r="F19" s="11">
        <f>INDEX(Dataset!$A$1:$X$40,MATCH(Task_2!$A$19,Dataset!$A$1:$A$40,0),MATCH(Task_2!F5,Dataset!$A$1:$X$1,0))</f>
        <v>63.6</v>
      </c>
    </row>
    <row r="20" spans="1:6" ht="14.4" x14ac:dyDescent="0.3">
      <c r="A20" s="7" t="s">
        <v>28</v>
      </c>
      <c r="B20" s="11">
        <f>INDEX(Dataset!$A$1:$X$40,MATCH(Task_2!$A$20,Dataset!$A$1:$A$40,0),MATCH(Task_2!B5,Dataset!$A$1:$X$1,0))</f>
        <v>0</v>
      </c>
      <c r="C20" s="11">
        <f>INDEX(Dataset!$A$1:$X$40,MATCH(Task_2!$A$20,Dataset!$A$1:$A$40,0),MATCH(Task_2!C5,Dataset!$A$1:$X$1,0))</f>
        <v>0</v>
      </c>
      <c r="D20" s="11">
        <f>INDEX(Dataset!$A$1:$X$40,MATCH(Task_2!$A$20,Dataset!$A$1:$A$40,0),MATCH(Task_2!D5,Dataset!$A$1:$X$1,0))</f>
        <v>0</v>
      </c>
      <c r="E20" s="11">
        <f>INDEX(Dataset!$A$1:$X$40,MATCH(Task_2!$A$20,Dataset!$A$1:$A$40,0),MATCH(Task_2!E5,Dataset!$A$1:$X$1,0))</f>
        <v>0</v>
      </c>
      <c r="F20" s="11">
        <f>INDEX(Dataset!$A$1:$X$40,MATCH(Task_2!$A$20,Dataset!$A$1:$A$40,0),MATCH(Task_2!F5,Dataset!$A$1:$X$1,0))</f>
        <v>0</v>
      </c>
    </row>
    <row r="21" spans="1:6" ht="14.4" x14ac:dyDescent="0.3">
      <c r="A21" s="7" t="s">
        <v>57</v>
      </c>
      <c r="B21" s="11">
        <f>INDEX(Dataset!$A$1:$X$40,MATCH(Task_2!$A$21,Dataset!$A$1:$A$40,0),MATCH(Task_2!B5,Dataset!$A$1:$X$1,0))</f>
        <v>41.3</v>
      </c>
      <c r="C21" s="11">
        <f>INDEX(Dataset!$A$1:$X$40,MATCH(Task_2!$A$21,Dataset!$A$1:$A$40,0),MATCH(Task_2!C5,Dataset!$A$1:$X$1,0))</f>
        <v>124.4</v>
      </c>
      <c r="D21" s="11">
        <f>INDEX(Dataset!$A$1:$X$40,MATCH(Task_2!$A$21,Dataset!$A$1:$A$40,0),MATCH(Task_2!D5,Dataset!$A$1:$X$1,0))</f>
        <v>75</v>
      </c>
      <c r="E21" s="11">
        <f>INDEX(Dataset!$A$1:$X$40,MATCH(Task_2!$A$21,Dataset!$A$1:$A$40,0),MATCH(Task_2!E5,Dataset!$A$1:$X$1,0))</f>
        <v>151.5</v>
      </c>
      <c r="F21" s="11">
        <f>INDEX(Dataset!$A$1:$X$40,MATCH(Task_2!$A$21,Dataset!$A$1:$A$40,0),MATCH(Task_2!F5,Dataset!$A$1:$X$1,0))</f>
        <v>75</v>
      </c>
    </row>
    <row r="22" spans="1:6" ht="14.4" x14ac:dyDescent="0.3">
      <c r="A22" s="7" t="s">
        <v>58</v>
      </c>
      <c r="B22" s="11">
        <f>INDEX(Dataset!$A$1:$X$40,MATCH(Task_2!$A$22,Dataset!$A$1:$A$40,0),MATCH(Task_2!B5,Dataset!$A$1:$X$1,0))</f>
        <v>-1</v>
      </c>
      <c r="C22" s="11">
        <f>INDEX(Dataset!$A$1:$X$40,MATCH(Task_2!$A$22,Dataset!$A$1:$A$40,0),MATCH(Task_2!C5,Dataset!$A$1:$X$1,0))</f>
        <v>-1</v>
      </c>
      <c r="D22" s="11">
        <f>INDEX(Dataset!$A$1:$X$40,MATCH(Task_2!$A$22,Dataset!$A$1:$A$40,0),MATCH(Task_2!D5,Dataset!$A$1:$X$1,0))</f>
        <v>-1</v>
      </c>
      <c r="E22" s="11">
        <f>INDEX(Dataset!$A$1:$X$40,MATCH(Task_2!$A$22,Dataset!$A$1:$A$40,0),MATCH(Task_2!E5,Dataset!$A$1:$X$1,0))</f>
        <v>-1</v>
      </c>
      <c r="F22" s="11">
        <f>INDEX(Dataset!$A$1:$X$40,MATCH(Task_2!$A$22,Dataset!$A$1:$A$40,0),MATCH(Task_2!F5,Dataset!$A$1:$X$1,0))</f>
        <v>-1</v>
      </c>
    </row>
    <row r="23" spans="1:6" ht="14.4" x14ac:dyDescent="0.3">
      <c r="A23" s="7" t="s">
        <v>31</v>
      </c>
      <c r="B23" s="11">
        <f>INDEX(Dataset!$A$1:$X$40,MATCH(Task_2!$A$23,Dataset!$A$1:$A$40,0),MATCH(Task_2!B5,Dataset!$A$1:$X$1,0))</f>
        <v>45</v>
      </c>
      <c r="C23" s="11">
        <f>INDEX(Dataset!$A$1:$X$40,MATCH(Task_2!$A$23,Dataset!$A$1:$A$40,0),MATCH(Task_2!C5,Dataset!$A$1:$X$1,0))</f>
        <v>133.4</v>
      </c>
      <c r="D23" s="11">
        <f>INDEX(Dataset!$A$1:$X$40,MATCH(Task_2!$A$23,Dataset!$A$1:$A$40,0),MATCH(Task_2!D5,Dataset!$A$1:$X$1,0))</f>
        <v>79.400000000000006</v>
      </c>
      <c r="E23" s="11">
        <f>INDEX(Dataset!$A$1:$X$40,MATCH(Task_2!$A$23,Dataset!$A$1:$A$40,0),MATCH(Task_2!E5,Dataset!$A$1:$X$1,0))</f>
        <v>160.9</v>
      </c>
      <c r="F23" s="11">
        <f>INDEX(Dataset!$A$1:$X$40,MATCH(Task_2!$A$23,Dataset!$A$1:$A$40,0),MATCH(Task_2!F5,Dataset!$A$1:$X$1,0))</f>
        <v>79.400000000000006</v>
      </c>
    </row>
    <row r="24" spans="1:6" ht="14.4" x14ac:dyDescent="0.3">
      <c r="A24" s="7" t="s">
        <v>32</v>
      </c>
      <c r="B24" s="11">
        <f>INDEX(Dataset!$A$1:$X$40,MATCH(Task_2!$A$15,Dataset!$A$1:$A$40,0),MATCH(Task_2!B5,Dataset!$A$1:$X$1,0))</f>
        <v>26.8</v>
      </c>
      <c r="C24" s="11">
        <f>INDEX(Dataset!$A$1:$X$40,MATCH(Task_2!$A$15,Dataset!$A$1:$A$40,0),MATCH(Task_2!C5,Dataset!$A$1:$X$1,0))</f>
        <v>79.599999999999994</v>
      </c>
      <c r="D24" s="11">
        <f>INDEX(Dataset!$A$1:$X$40,MATCH(Task_2!$A$15,Dataset!$A$1:$A$40,0),MATCH(Task_2!D5,Dataset!$A$1:$X$1,0))</f>
        <v>47.9</v>
      </c>
      <c r="E24" s="11">
        <f>INDEX(Dataset!$A$1:$X$40,MATCH(Task_2!$A$15,Dataset!$A$1:$A$40,0),MATCH(Task_2!E5,Dataset!$A$1:$X$1,0))</f>
        <v>96.8</v>
      </c>
      <c r="F24" s="11">
        <f>INDEX(Dataset!$A$1:$X$40,MATCH(Task_2!$A$15,Dataset!$A$1:$A$40,0),MATCH(Task_2!F5,Dataset!$A$1:$X$1,0))</f>
        <v>47.9</v>
      </c>
    </row>
    <row r="25" spans="1:6" ht="14.4" x14ac:dyDescent="0.3">
      <c r="A25" s="7" t="s">
        <v>34</v>
      </c>
      <c r="B25" s="11">
        <f>INDEX(Dataset!$A$1:$X$40,MATCH(Task_2!$A$25,Dataset!$A$1:$A$40,0),MATCH(Task_2!B5,Dataset!$A$1:$X$1,0))</f>
        <v>43.3</v>
      </c>
      <c r="C25" s="11">
        <f>INDEX(Dataset!$A$1:$X$40,MATCH(Task_2!$A$25,Dataset!$A$1:$A$40,0),MATCH(Task_2!C5,Dataset!$A$1:$X$1,0))</f>
        <v>128.6</v>
      </c>
      <c r="D25" s="11">
        <f>INDEX(Dataset!$A$1:$X$40,MATCH(Task_2!$A$25,Dataset!$A$1:$A$40,0),MATCH(Task_2!D5,Dataset!$A$1:$X$1,0))</f>
        <v>79.400000000000006</v>
      </c>
      <c r="E25" s="11">
        <f>INDEX(Dataset!$A$1:$X$40,MATCH(Task_2!$A$25,Dataset!$A$1:$A$40,0),MATCH(Task_2!E5,Dataset!$A$1:$X$1,0))</f>
        <v>160.9</v>
      </c>
      <c r="F25" s="11">
        <f>INDEX(Dataset!$A$1:$X$40,MATCH(Task_2!$A$25,Dataset!$A$1:$A$40,0),MATCH(Task_2!F5,Dataset!$A$1:$X$1,0))</f>
        <v>79.400000000000006</v>
      </c>
    </row>
    <row r="26" spans="1:6" ht="14.4" x14ac:dyDescent="0.3">
      <c r="A26" s="7" t="s">
        <v>37</v>
      </c>
      <c r="B26" s="11">
        <f>INDEX(Dataset!$A$1:$X$40,MATCH(Task_2!$A$26,Dataset!$A$1:$A$40,0),MATCH(Task_2!B5,Dataset!$A$1:$X$1,0))</f>
        <v>49.1</v>
      </c>
      <c r="C26" s="11">
        <f>INDEX(Dataset!$A$1:$X$40,MATCH(Task_2!$A$26,Dataset!$A$1:$A$40,0),MATCH(Task_2!C5,Dataset!$A$1:$X$1,0))</f>
        <v>146.80000000000001</v>
      </c>
      <c r="D26" s="11">
        <f>INDEX(Dataset!$A$1:$X$40,MATCH(Task_2!$A$26,Dataset!$A$1:$A$40,0),MATCH(Task_2!D5,Dataset!$A$1:$X$1,0))</f>
        <v>90.9</v>
      </c>
      <c r="E26" s="11">
        <f>INDEX(Dataset!$A$1:$X$40,MATCH(Task_2!$A$26,Dataset!$A$1:$A$40,0),MATCH(Task_2!E5,Dataset!$A$1:$X$1,0))</f>
        <v>183.5</v>
      </c>
      <c r="F26" s="11">
        <f>INDEX(Dataset!$A$1:$X$40,MATCH(Task_2!$A$26,Dataset!$A$1:$A$40,0),MATCH(Task_2!F5,Dataset!$A$1:$X$1,0))</f>
        <v>90.9</v>
      </c>
    </row>
    <row r="27" spans="1:6" ht="14.4" x14ac:dyDescent="0.3">
      <c r="A27" s="7" t="s">
        <v>39</v>
      </c>
      <c r="B27" s="11">
        <f>INDEX(Dataset!$A$1:$X$40,MATCH(Task_2!$A$27,Dataset!$A$1:$A$40,0),MATCH(Task_2!B5,Dataset!$A$1:$X$1,0))</f>
        <v>51.8</v>
      </c>
      <c r="C27" s="11">
        <f>INDEX(Dataset!$A$1:$X$40,MATCH(Task_2!$A$27,Dataset!$A$1:$A$40,0),MATCH(Task_2!C5,Dataset!$A$1:$X$1,0))</f>
        <v>156.4</v>
      </c>
      <c r="D27" s="11">
        <f>INDEX(Dataset!$A$1:$X$40,MATCH(Task_2!$A$27,Dataset!$A$1:$A$40,0),MATCH(Task_2!D5,Dataset!$A$1:$X$1,0))</f>
        <v>93.1</v>
      </c>
      <c r="E27" s="11">
        <f>INDEX(Dataset!$A$1:$X$40,MATCH(Task_2!$A$27,Dataset!$A$1:$A$40,0),MATCH(Task_2!E5,Dataset!$A$1:$X$1,0))</f>
        <v>188.1</v>
      </c>
      <c r="F27" s="11">
        <f>INDEX(Dataset!$A$1:$X$40,MATCH(Task_2!$A$27,Dataset!$A$1:$A$40,0),MATCH(Task_2!F5,Dataset!$A$1:$X$1,0))</f>
        <v>93.1</v>
      </c>
    </row>
    <row r="28" spans="1:6" ht="14.4" x14ac:dyDescent="0.3">
      <c r="A28" s="18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8" t="s">
        <v>83</v>
      </c>
      <c r="B29" s="31">
        <f>MAX(B6:B28)</f>
        <v>51.8</v>
      </c>
      <c r="C29" s="31">
        <f t="shared" ref="C29:F29" si="1">MAX(C6:C28)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8" t="s">
        <v>84</v>
      </c>
      <c r="B30" s="31">
        <f>AVERAGE(B6:B27)</f>
        <v>21.686363636363637</v>
      </c>
      <c r="C30" s="31">
        <f t="shared" ref="C30:F30" si="2">AVERAGE(C6:C27)</f>
        <v>64.845454545454544</v>
      </c>
      <c r="D30" s="31">
        <f t="shared" si="2"/>
        <v>39.459090909090904</v>
      </c>
      <c r="E30" s="31">
        <f t="shared" si="2"/>
        <v>79.100000000000009</v>
      </c>
      <c r="F30" s="31">
        <f t="shared" si="2"/>
        <v>39.245454545454542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Y54"/>
  <sheetViews>
    <sheetView topLeftCell="A22" zoomScaleNormal="100" workbookViewId="0">
      <selection activeCell="B5" sqref="B5:Y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25" s="41" customFormat="1" ht="21" x14ac:dyDescent="0.4">
      <c r="A1" s="42" t="s">
        <v>56</v>
      </c>
      <c r="B1" s="41" t="s">
        <v>173</v>
      </c>
    </row>
    <row r="2" spans="1:25" customFormat="1" ht="13.2" x14ac:dyDescent="0.25"/>
    <row r="3" spans="1:25" s="2" customFormat="1" x14ac:dyDescent="0.3">
      <c r="B3" s="1"/>
    </row>
    <row r="4" spans="1:25" s="2" customFormat="1" x14ac:dyDescent="0.3">
      <c r="B4" s="1" t="s">
        <v>151</v>
      </c>
    </row>
    <row r="5" spans="1:25" ht="18" x14ac:dyDescent="0.35">
      <c r="A5" s="43" t="s">
        <v>53</v>
      </c>
      <c r="B5" s="46" t="s">
        <v>177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</row>
    <row r="6" spans="1:25" ht="18" x14ac:dyDescent="0.35">
      <c r="A6" s="43" t="s">
        <v>153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</row>
    <row r="7" spans="1:25" ht="18" x14ac:dyDescent="0.35">
      <c r="A7" s="43"/>
      <c r="B7" s="40"/>
    </row>
    <row r="9" spans="1:25" ht="23.4" x14ac:dyDescent="0.45">
      <c r="A9" s="17" t="s">
        <v>165</v>
      </c>
      <c r="I9" s="2"/>
      <c r="J9" s="2"/>
    </row>
    <row r="10" spans="1:25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25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25" ht="23.4" x14ac:dyDescent="0.45">
      <c r="A14" s="17" t="s">
        <v>162</v>
      </c>
    </row>
    <row r="15" spans="1:25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25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mergeCells count="1">
    <mergeCell ref="B5:Y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AE22"/>
  <sheetViews>
    <sheetView tabSelected="1" topLeftCell="A2" zoomScaleNormal="100" workbookViewId="0">
      <selection activeCell="H17" sqref="H1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1" ht="21" x14ac:dyDescent="0.4">
      <c r="A1" s="42" t="s">
        <v>85</v>
      </c>
      <c r="B1" s="41" t="s">
        <v>166</v>
      </c>
    </row>
    <row r="2" spans="1:31" ht="14.4" x14ac:dyDescent="0.3">
      <c r="B2" s="16">
        <v>20</v>
      </c>
    </row>
    <row r="5" spans="1:31" ht="14.4" x14ac:dyDescent="0.3">
      <c r="B5" s="1" t="s">
        <v>151</v>
      </c>
    </row>
    <row r="6" spans="1:31" ht="14.4" x14ac:dyDescent="0.3">
      <c r="A6" s="3" t="s">
        <v>53</v>
      </c>
      <c r="B6" s="47" t="s">
        <v>178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</row>
    <row r="7" spans="1:31" ht="14.4" x14ac:dyDescent="0.3">
      <c r="A7" s="3" t="s">
        <v>153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</row>
    <row r="10" spans="1:31" ht="23.4" x14ac:dyDescent="0.45">
      <c r="A10" s="17" t="s">
        <v>162</v>
      </c>
    </row>
    <row r="11" spans="1:31" ht="14.4" x14ac:dyDescent="0.3">
      <c r="A11" s="32" t="s">
        <v>86</v>
      </c>
      <c r="B11" s="16" t="s">
        <v>87</v>
      </c>
      <c r="C11" s="16" t="s">
        <v>88</v>
      </c>
    </row>
    <row r="12" spans="1:31" ht="14.4" x14ac:dyDescent="0.3">
      <c r="A12" s="32">
        <v>44927</v>
      </c>
      <c r="B12" s="16" t="s">
        <v>59</v>
      </c>
      <c r="C12" s="16">
        <v>200</v>
      </c>
    </row>
    <row r="13" spans="1:31" ht="14.4" x14ac:dyDescent="0.3">
      <c r="A13" s="32">
        <v>44928</v>
      </c>
      <c r="B13" s="16" t="s">
        <v>60</v>
      </c>
      <c r="C13" s="16">
        <v>20</v>
      </c>
    </row>
    <row r="14" spans="1:31" ht="14.4" x14ac:dyDescent="0.3">
      <c r="A14" s="32">
        <v>44929</v>
      </c>
      <c r="B14" s="16" t="s">
        <v>61</v>
      </c>
      <c r="C14" s="16">
        <v>50</v>
      </c>
    </row>
    <row r="15" spans="1:31" ht="14.4" x14ac:dyDescent="0.3">
      <c r="A15" s="32">
        <v>44930</v>
      </c>
      <c r="B15" s="16" t="s">
        <v>62</v>
      </c>
      <c r="C15" s="16">
        <v>20</v>
      </c>
    </row>
    <row r="16" spans="1:31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154</v>
      </c>
      <c r="C17" s="16">
        <v>150</v>
      </c>
    </row>
    <row r="18" spans="1:3" ht="14.4" x14ac:dyDescent="0.3">
      <c r="A18" s="32">
        <v>44933</v>
      </c>
      <c r="B18" s="16" t="s">
        <v>155</v>
      </c>
      <c r="C18" s="16">
        <v>80</v>
      </c>
    </row>
    <row r="19" spans="1:3" ht="14.4" x14ac:dyDescent="0.3">
      <c r="A19" s="32">
        <v>44934</v>
      </c>
      <c r="B19" s="16" t="s">
        <v>156</v>
      </c>
      <c r="C19" s="16">
        <v>20</v>
      </c>
    </row>
    <row r="20" spans="1:3" ht="14.4" x14ac:dyDescent="0.3">
      <c r="A20" s="32">
        <v>44935</v>
      </c>
      <c r="B20" s="16" t="s">
        <v>157</v>
      </c>
      <c r="C20" s="16">
        <v>30</v>
      </c>
    </row>
    <row r="21" spans="1:3" ht="14.4" x14ac:dyDescent="0.3">
      <c r="A21" s="32">
        <v>44936</v>
      </c>
      <c r="B21" s="16" t="s">
        <v>158</v>
      </c>
      <c r="C21" s="16">
        <v>20</v>
      </c>
    </row>
    <row r="22" spans="1:3" ht="14.4" x14ac:dyDescent="0.3">
      <c r="B22" s="16" t="s">
        <v>159</v>
      </c>
      <c r="C22" s="24">
        <f>SUM(C12:C21)</f>
        <v>600</v>
      </c>
    </row>
  </sheetData>
  <mergeCells count="1">
    <mergeCell ref="B6:AE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Q35"/>
  <sheetViews>
    <sheetView zoomScaleNormal="100" workbookViewId="0">
      <selection activeCell="F29" sqref="F2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7" ht="21" x14ac:dyDescent="0.4">
      <c r="A1" s="42" t="s">
        <v>98</v>
      </c>
      <c r="B1" s="41" t="s">
        <v>174</v>
      </c>
    </row>
    <row r="3" spans="1:17" ht="14.4" x14ac:dyDescent="0.3">
      <c r="B3" s="1" t="s">
        <v>151</v>
      </c>
    </row>
    <row r="4" spans="1:17" ht="18" x14ac:dyDescent="0.35">
      <c r="A4" s="43" t="s">
        <v>53</v>
      </c>
      <c r="B4" s="1"/>
      <c r="C4" s="48" t="str">
        <f>VLOOKUP(A23,$M$9:$N$18,2,0)&amp;","&amp;VLOOKUP(B23,$M$9:$N$18,2,0)</f>
        <v>A,B</v>
      </c>
      <c r="D4" s="48"/>
      <c r="E4" s="48"/>
      <c r="F4" s="48"/>
      <c r="G4" s="48"/>
      <c r="H4" s="48"/>
      <c r="I4" s="48"/>
    </row>
    <row r="5" spans="1:17" ht="18" x14ac:dyDescent="0.35">
      <c r="A5" s="43" t="s">
        <v>153</v>
      </c>
      <c r="B5" s="1"/>
      <c r="C5" s="48" t="s">
        <v>179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ht="14.4" x14ac:dyDescent="0.3">
      <c r="A6" s="3"/>
      <c r="B6" s="1"/>
    </row>
    <row r="8" spans="1:17" ht="23.4" x14ac:dyDescent="0.45">
      <c r="A8" s="17" t="s">
        <v>162</v>
      </c>
      <c r="M8" s="17" t="s">
        <v>163</v>
      </c>
    </row>
    <row r="9" spans="1:17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7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7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7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7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7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7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7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167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4" t="str" cm="1">
        <f t="array" ref="C23:I23">C4:I4</f>
        <v>A,B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</row>
    <row r="24" spans="1:14" ht="14.4" x14ac:dyDescent="0.3">
      <c r="A24" s="7">
        <v>10100</v>
      </c>
      <c r="B24" s="11">
        <v>10104</v>
      </c>
      <c r="C24" s="44" t="str">
        <f t="shared" ref="C24:C35" si="0">VLOOKUP(A24,$M$9:$N$18,2,0)&amp;","&amp;VLOOKUP(B24,$M$9:$N$18,2,0)</f>
        <v>A,C</v>
      </c>
    </row>
    <row r="25" spans="1:14" ht="14.4" x14ac:dyDescent="0.3">
      <c r="A25" s="7">
        <v>10108</v>
      </c>
      <c r="B25" s="11">
        <v>10102</v>
      </c>
      <c r="C25" s="44" t="str">
        <f t="shared" si="0"/>
        <v>E,B</v>
      </c>
    </row>
    <row r="26" spans="1:14" ht="14.4" x14ac:dyDescent="0.3">
      <c r="A26" s="7">
        <v>10100</v>
      </c>
      <c r="B26" s="11">
        <v>10106</v>
      </c>
      <c r="C26" s="44" t="str">
        <f t="shared" si="0"/>
        <v>A,D</v>
      </c>
    </row>
    <row r="27" spans="1:14" ht="14.4" x14ac:dyDescent="0.3">
      <c r="A27" s="7">
        <v>10108</v>
      </c>
      <c r="B27" s="11">
        <v>10110</v>
      </c>
      <c r="C27" s="44" t="str">
        <f t="shared" si="0"/>
        <v>E,F</v>
      </c>
    </row>
    <row r="28" spans="1:14" ht="14.4" x14ac:dyDescent="0.3">
      <c r="A28" s="7">
        <v>10102</v>
      </c>
      <c r="B28" s="11">
        <v>10104</v>
      </c>
      <c r="C28" s="44" t="str">
        <f t="shared" si="0"/>
        <v>B,C</v>
      </c>
    </row>
    <row r="29" spans="1:14" ht="14.4" x14ac:dyDescent="0.3">
      <c r="A29" s="7">
        <v>10106</v>
      </c>
      <c r="B29" s="11">
        <v>10108</v>
      </c>
      <c r="C29" s="44" t="str">
        <f t="shared" si="0"/>
        <v>D,E</v>
      </c>
    </row>
    <row r="30" spans="1:14" ht="14.4" x14ac:dyDescent="0.3">
      <c r="A30" s="7">
        <v>10102</v>
      </c>
      <c r="B30" s="11">
        <v>10106</v>
      </c>
      <c r="C30" s="44" t="str">
        <f t="shared" si="0"/>
        <v>B,D</v>
      </c>
    </row>
    <row r="31" spans="1:14" ht="14.4" x14ac:dyDescent="0.3">
      <c r="A31" s="7">
        <v>10110</v>
      </c>
      <c r="B31" s="11">
        <v>10114</v>
      </c>
      <c r="C31" s="44" t="str">
        <f t="shared" si="0"/>
        <v>F,H</v>
      </c>
    </row>
    <row r="32" spans="1:14" ht="14.4" x14ac:dyDescent="0.3">
      <c r="A32" s="7">
        <v>10104</v>
      </c>
      <c r="B32" s="11">
        <v>10106</v>
      </c>
      <c r="C32" s="44" t="str">
        <f t="shared" si="0"/>
        <v>C,D</v>
      </c>
    </row>
    <row r="33" spans="1:3" ht="14.4" x14ac:dyDescent="0.3">
      <c r="A33" s="7">
        <v>10110</v>
      </c>
      <c r="B33" s="11">
        <v>10112</v>
      </c>
      <c r="C33" s="44" t="str">
        <f t="shared" si="0"/>
        <v>F,G</v>
      </c>
    </row>
    <row r="34" spans="1:3" ht="14.4" x14ac:dyDescent="0.3">
      <c r="A34" s="7">
        <v>10100</v>
      </c>
      <c r="B34" s="11">
        <v>10114</v>
      </c>
      <c r="C34" s="44" t="str">
        <f t="shared" si="0"/>
        <v>A,H</v>
      </c>
    </row>
    <row r="35" spans="1:3" ht="14.4" x14ac:dyDescent="0.3">
      <c r="A35" s="8">
        <v>10112</v>
      </c>
      <c r="B35" s="12">
        <v>10116</v>
      </c>
      <c r="C35" s="44" t="str">
        <f t="shared" si="0"/>
        <v>G,I</v>
      </c>
    </row>
  </sheetData>
  <mergeCells count="2">
    <mergeCell ref="C4:I4"/>
    <mergeCell ref="C5:Q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user</cp:lastModifiedBy>
  <dcterms:created xsi:type="dcterms:W3CDTF">2015-02-10T17:33:11Z</dcterms:created>
  <dcterms:modified xsi:type="dcterms:W3CDTF">2023-12-10T16:18:57Z</dcterms:modified>
</cp:coreProperties>
</file>